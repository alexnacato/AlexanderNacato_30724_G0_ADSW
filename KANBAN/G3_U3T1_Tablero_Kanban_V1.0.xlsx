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scritorio D\UNIVERSIDAD\ESPE-6TO\ANALISIS\U3\"/>
    </mc:Choice>
  </mc:AlternateContent>
  <xr:revisionPtr revIDLastSave="0" documentId="13_ncr:1_{BE0CA273-395B-4BB4-BADD-F2C949E6324E}" xr6:coauthVersionLast="47" xr6:coauthVersionMax="47" xr10:uidLastSave="{00000000-0000-0000-0000-000000000000}"/>
  <workbookProtection lockStructure="1"/>
  <bookViews>
    <workbookView xWindow="-108" yWindow="-108" windowWidth="23256" windowHeight="1317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5" i="2" a="1"/>
  <c r="I85" i="2" s="1"/>
  <c r="H85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J2" i="1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D85" i="5" s="1" a="1"/>
  <c r="D85" i="5" s="1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9" i="3" l="1"/>
  <c r="A85" i="5"/>
  <c r="AC2" i="1"/>
  <c r="AE2" i="1"/>
  <c r="I50" i="2" a="1"/>
  <c r="I50" i="2" s="1"/>
  <c r="H45" i="2"/>
  <c r="I39" i="2" a="1"/>
  <c r="I39" i="2" s="1"/>
  <c r="D39" i="5" s="1" a="1"/>
  <c r="D39" i="5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D27" i="5" s="1" a="1"/>
  <c r="D27" i="5" s="1"/>
  <c r="I21" i="2" a="1"/>
  <c r="I21" i="2" s="1"/>
  <c r="I15" i="2" a="1"/>
  <c r="I15" i="2" s="1"/>
  <c r="I9" i="2" a="1"/>
  <c r="I9" i="2" s="1"/>
  <c r="D9" i="5" s="1" a="1"/>
  <c r="D9" i="5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D14" i="5" s="1" a="1"/>
  <c r="D14" i="5" s="1"/>
  <c r="I2" i="2" a="1"/>
  <c r="I2" i="2" s="1"/>
  <c r="I22" i="2" a="1"/>
  <c r="I22" i="2" s="1"/>
  <c r="D22" i="5" s="1" a="1"/>
  <c r="D22" i="5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D24" i="5" s="1" a="1"/>
  <c r="D24" i="5" s="1"/>
  <c r="I18" i="2" a="1"/>
  <c r="I18" i="2" s="1"/>
  <c r="I12" i="2" a="1"/>
  <c r="I12" i="2" s="1"/>
  <c r="D12" i="5" s="1" a="1"/>
  <c r="D12" i="5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34" i="5" l="1" a="1"/>
  <c r="D34" i="5" s="1"/>
  <c r="D25" i="5" a="1"/>
  <c r="D25" i="5" s="1"/>
  <c r="D16" i="5" a="1"/>
  <c r="D16" i="5" s="1"/>
  <c r="D46" i="5" a="1"/>
  <c r="D46" i="5" s="1"/>
  <c r="D31" i="5" a="1"/>
  <c r="D31" i="5" s="1"/>
  <c r="D6" i="5" a="1"/>
  <c r="D6" i="5" s="1"/>
  <c r="D36" i="5" a="1"/>
  <c r="D36" i="5" s="1"/>
  <c r="D26" i="5" a="1"/>
  <c r="D26" i="5" s="1"/>
  <c r="D44" i="5" a="1"/>
  <c r="D44" i="5" s="1"/>
  <c r="D50" i="5" a="1"/>
  <c r="D50" i="5" s="1"/>
  <c r="D11" i="5" a="1"/>
  <c r="D1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94" i="5"/>
  <c r="K13" i="5"/>
  <c r="K75" i="5"/>
  <c r="K6" i="5"/>
  <c r="K4" i="5"/>
  <c r="K77" i="5"/>
  <c r="K28" i="5"/>
  <c r="K5" i="5"/>
  <c r="K3" i="5"/>
  <c r="K87" i="5"/>
  <c r="K31" i="5"/>
  <c r="K65" i="5"/>
  <c r="K41" i="5"/>
  <c r="K25" i="5"/>
  <c r="K45" i="5"/>
  <c r="K88" i="5"/>
  <c r="K66" i="5"/>
  <c r="K24" i="5"/>
  <c r="K82" i="5"/>
  <c r="K39" i="5"/>
  <c r="K93" i="5"/>
  <c r="K86" i="5"/>
  <c r="K70" i="5"/>
  <c r="K27" i="5"/>
  <c r="K92" i="5"/>
  <c r="K64" i="5"/>
  <c r="K55" i="5"/>
  <c r="K58" i="5"/>
  <c r="K79" i="5"/>
  <c r="K14" i="5"/>
  <c r="K57" i="5"/>
  <c r="K50" i="5"/>
  <c r="K98" i="5"/>
  <c r="K33" i="5"/>
  <c r="K51" i="5"/>
  <c r="K23" i="5"/>
  <c r="K99" i="5"/>
  <c r="K59" i="5"/>
  <c r="K83" i="5"/>
  <c r="K32" i="5"/>
  <c r="K40" i="5"/>
  <c r="K84" i="5"/>
  <c r="K43" i="5"/>
  <c r="K100" i="5"/>
  <c r="K73" i="5"/>
  <c r="K7" i="5"/>
  <c r="K96" i="5"/>
  <c r="K26" i="5"/>
  <c r="K85" i="5"/>
  <c r="K95" i="5"/>
  <c r="K10" i="5"/>
  <c r="K54" i="5"/>
  <c r="K15" i="5"/>
  <c r="K63" i="5"/>
  <c r="K80" i="5"/>
  <c r="K29" i="5"/>
  <c r="K38" i="5"/>
  <c r="K89" i="5"/>
  <c r="K61" i="5"/>
  <c r="K71" i="5"/>
  <c r="K34" i="5"/>
  <c r="K69" i="5"/>
  <c r="K9" i="5"/>
  <c r="K78" i="5"/>
  <c r="K11" i="5"/>
  <c r="K8" i="5"/>
  <c r="K49" i="5"/>
  <c r="K60" i="5"/>
  <c r="K74" i="5"/>
  <c r="K20" i="5"/>
  <c r="K21" i="5"/>
  <c r="K67" i="5"/>
  <c r="K37" i="5"/>
  <c r="K19" i="5"/>
  <c r="K47" i="5"/>
  <c r="K97" i="5"/>
  <c r="K44" i="5"/>
  <c r="K2" i="5"/>
  <c r="K90" i="5"/>
  <c r="K48" i="5"/>
  <c r="K52" i="5"/>
  <c r="K35" i="5"/>
  <c r="K16" i="5"/>
  <c r="K30" i="5"/>
  <c r="K91" i="5"/>
  <c r="K17" i="5"/>
  <c r="K18" i="5"/>
  <c r="K12" i="5"/>
  <c r="K101" i="5"/>
  <c r="K81" i="5"/>
  <c r="K68" i="5"/>
  <c r="K56" i="5"/>
  <c r="K22" i="5"/>
  <c r="K62" i="5"/>
  <c r="K76" i="5"/>
  <c r="K42" i="5"/>
  <c r="K72" i="5"/>
  <c r="K36" i="5"/>
  <c r="K46" i="5"/>
  <c r="K53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L57" i="5"/>
  <c r="L15" i="5"/>
  <c r="M32" i="5"/>
  <c r="M47" i="5"/>
  <c r="L69" i="5"/>
  <c r="M80" i="5"/>
  <c r="L32" i="5"/>
  <c r="M29" i="5"/>
  <c r="N80" i="5"/>
  <c r="N90" i="5"/>
  <c r="L27" i="5"/>
  <c r="M24" i="5"/>
  <c r="M57" i="5"/>
  <c r="N2" i="5"/>
  <c r="N32" i="5"/>
  <c r="M5" i="5"/>
  <c r="M50" i="5"/>
  <c r="L29" i="5"/>
  <c r="L64" i="5"/>
  <c r="N74" i="5"/>
  <c r="L87" i="5"/>
  <c r="N83" i="5"/>
  <c r="L80" i="5"/>
  <c r="M33" i="5"/>
  <c r="N12" i="5"/>
  <c r="L84" i="5"/>
  <c r="L38" i="5"/>
  <c r="N50" i="5"/>
  <c r="M34" i="5"/>
  <c r="N56" i="5"/>
  <c r="M81" i="5"/>
  <c r="L94" i="5"/>
  <c r="L59" i="5"/>
  <c r="L12" i="5"/>
  <c r="N5" i="5"/>
  <c r="N21" i="5"/>
  <c r="M18" i="5"/>
  <c r="N66" i="5"/>
  <c r="N65" i="5"/>
  <c r="M3" i="5"/>
  <c r="M39" i="5"/>
  <c r="L2" i="5"/>
  <c r="N51" i="5"/>
  <c r="N57" i="5"/>
  <c r="L51" i="5"/>
  <c r="M20" i="5"/>
  <c r="N93" i="5"/>
  <c r="L42" i="5"/>
  <c r="L53" i="5"/>
  <c r="N87" i="5"/>
  <c r="N43" i="5"/>
  <c r="N28" i="5"/>
  <c r="M60" i="5"/>
  <c r="M85" i="5"/>
  <c r="M84" i="5"/>
  <c r="M87" i="5"/>
  <c r="N53" i="5"/>
  <c r="N42" i="5"/>
  <c r="N34" i="5"/>
  <c r="N38" i="5"/>
  <c r="N81" i="5"/>
  <c r="L67" i="5"/>
  <c r="L55" i="5"/>
  <c r="L10" i="5"/>
  <c r="M6" i="5"/>
  <c r="L77" i="5"/>
  <c r="L78" i="5"/>
  <c r="N44" i="5"/>
  <c r="L90" i="5"/>
  <c r="L68" i="5"/>
  <c r="L79" i="5"/>
  <c r="L45" i="5"/>
  <c r="M23" i="5"/>
  <c r="N88" i="5"/>
  <c r="L62" i="5"/>
  <c r="M69" i="5"/>
  <c r="L19" i="5"/>
  <c r="L48" i="5"/>
  <c r="M92" i="5"/>
  <c r="M68" i="5"/>
  <c r="N47" i="5"/>
  <c r="M61" i="5"/>
  <c r="N3" i="5"/>
  <c r="L8" i="5"/>
  <c r="N35" i="5"/>
  <c r="L40" i="5"/>
  <c r="M43" i="5"/>
  <c r="M62" i="5"/>
  <c r="L88" i="5"/>
  <c r="N49" i="5"/>
  <c r="M83" i="5"/>
  <c r="M40" i="5"/>
  <c r="M96" i="5"/>
  <c r="L75" i="5"/>
  <c r="M48" i="5"/>
  <c r="M74" i="5"/>
  <c r="N61" i="5"/>
  <c r="N75" i="5"/>
  <c r="L31" i="5"/>
  <c r="M35" i="5"/>
  <c r="M11" i="5"/>
  <c r="N59" i="5"/>
  <c r="M91" i="5"/>
  <c r="L9" i="5"/>
  <c r="L50" i="5"/>
  <c r="M58" i="5"/>
  <c r="N37" i="5"/>
  <c r="L61" i="5"/>
  <c r="N62" i="5"/>
  <c r="L25" i="5"/>
  <c r="M9" i="5"/>
  <c r="L43" i="5"/>
  <c r="N85" i="5"/>
  <c r="N30" i="5"/>
  <c r="M98" i="5"/>
  <c r="M73" i="5"/>
  <c r="N46" i="5"/>
  <c r="L56" i="5"/>
  <c r="L41" i="5"/>
  <c r="M95" i="5"/>
  <c r="L7" i="5"/>
  <c r="L89" i="5"/>
  <c r="N63" i="5"/>
  <c r="M100" i="5"/>
  <c r="M36" i="5"/>
  <c r="N23" i="5"/>
  <c r="L101" i="5"/>
  <c r="N39" i="5"/>
  <c r="N54" i="5"/>
  <c r="M31" i="5"/>
  <c r="M54" i="5"/>
  <c r="N77" i="5"/>
  <c r="N17" i="5"/>
  <c r="M67" i="5"/>
  <c r="N19" i="5"/>
  <c r="M16" i="5"/>
  <c r="M28" i="5"/>
  <c r="L6" i="5"/>
  <c r="L26" i="5"/>
  <c r="L96" i="5"/>
  <c r="N33" i="5"/>
  <c r="L60" i="5"/>
  <c r="M65" i="5"/>
  <c r="N20" i="5"/>
  <c r="M49" i="5"/>
  <c r="M76" i="5"/>
  <c r="L23" i="5"/>
  <c r="N70" i="5"/>
  <c r="L16" i="5"/>
  <c r="N86" i="5"/>
  <c r="N97" i="5"/>
  <c r="N24" i="5"/>
  <c r="N95" i="5"/>
  <c r="M97" i="5"/>
  <c r="L81" i="5"/>
  <c r="M88" i="5"/>
  <c r="M101" i="5"/>
  <c r="L85" i="5"/>
  <c r="L49" i="5"/>
  <c r="N14" i="5"/>
  <c r="N79" i="5"/>
  <c r="L97" i="5"/>
  <c r="N69" i="5"/>
  <c r="L72" i="5"/>
  <c r="N68" i="5"/>
  <c r="M90" i="5"/>
  <c r="L39" i="5"/>
  <c r="N84" i="5"/>
  <c r="N76" i="5"/>
  <c r="N31" i="5"/>
  <c r="M70" i="5"/>
  <c r="L66" i="5"/>
  <c r="L4" i="5"/>
  <c r="M41" i="5"/>
  <c r="M22" i="5"/>
  <c r="L82" i="5"/>
  <c r="L5" i="5"/>
  <c r="M44" i="5"/>
  <c r="N26" i="5"/>
  <c r="L92" i="5"/>
  <c r="N45" i="5"/>
  <c r="M30" i="5"/>
  <c r="L35" i="5"/>
  <c r="L63" i="5"/>
  <c r="M66" i="5"/>
  <c r="L28" i="5"/>
  <c r="M21" i="5"/>
  <c r="N58" i="5"/>
  <c r="M17" i="5"/>
  <c r="L44" i="5"/>
  <c r="M42" i="5"/>
  <c r="N96" i="5"/>
  <c r="L3" i="5"/>
  <c r="L37" i="5"/>
  <c r="M78" i="5"/>
  <c r="L36" i="5"/>
  <c r="M27" i="5"/>
  <c r="M25" i="5"/>
  <c r="M93" i="5"/>
  <c r="N15" i="5"/>
  <c r="M38" i="5"/>
  <c r="L91" i="5"/>
  <c r="N6" i="5"/>
  <c r="N22" i="5"/>
  <c r="L99" i="5"/>
  <c r="L34" i="5"/>
  <c r="M51" i="5"/>
  <c r="L71" i="5"/>
  <c r="N99" i="5"/>
  <c r="N8" i="5"/>
  <c r="L14" i="5"/>
  <c r="N18" i="5"/>
  <c r="N52" i="5"/>
  <c r="N94" i="5"/>
  <c r="N41" i="5"/>
  <c r="N82" i="5"/>
  <c r="N78" i="5"/>
  <c r="L73" i="5"/>
  <c r="N89" i="5"/>
  <c r="L22" i="5"/>
  <c r="L98" i="5"/>
  <c r="N100" i="5"/>
  <c r="N4" i="5"/>
  <c r="L58" i="5"/>
  <c r="M46" i="5"/>
  <c r="N71" i="5"/>
  <c r="L54" i="5"/>
  <c r="M19" i="5"/>
  <c r="L76" i="5"/>
  <c r="M72" i="5"/>
  <c r="M75" i="5"/>
  <c r="M77" i="5"/>
  <c r="L74" i="5"/>
  <c r="M82" i="5"/>
  <c r="L17" i="5"/>
  <c r="L18" i="5"/>
  <c r="M26" i="5"/>
  <c r="L95" i="5"/>
  <c r="M64" i="5"/>
  <c r="N7" i="5"/>
  <c r="L21" i="5"/>
  <c r="M52" i="5"/>
  <c r="M13" i="5"/>
  <c r="L47" i="5"/>
  <c r="N72" i="5"/>
  <c r="L13" i="5"/>
  <c r="N29" i="5"/>
  <c r="M4" i="5"/>
  <c r="M37" i="5"/>
  <c r="M94" i="5"/>
  <c r="M89" i="5"/>
  <c r="N27" i="5"/>
  <c r="N40" i="5"/>
  <c r="N55" i="5"/>
  <c r="M55" i="5"/>
  <c r="N11" i="5"/>
  <c r="M86" i="5"/>
  <c r="N25" i="5"/>
  <c r="L11" i="5"/>
  <c r="N13" i="5"/>
  <c r="L20" i="5"/>
  <c r="M2" i="5"/>
  <c r="M10" i="5"/>
  <c r="M8" i="5"/>
  <c r="L93" i="5"/>
  <c r="M45" i="5"/>
  <c r="N16" i="5"/>
  <c r="N98" i="5"/>
  <c r="L83" i="5"/>
  <c r="N48" i="5"/>
  <c r="M15" i="5"/>
  <c r="M71" i="5"/>
  <c r="N92" i="5"/>
  <c r="L46" i="5"/>
  <c r="L24" i="5"/>
  <c r="N91" i="5"/>
  <c r="M53" i="5"/>
  <c r="L65" i="5"/>
  <c r="L70" i="5"/>
  <c r="N101" i="5"/>
  <c r="N73" i="5"/>
  <c r="N60" i="5"/>
  <c r="L86" i="5"/>
  <c r="M12" i="5"/>
  <c r="M99" i="5"/>
  <c r="M14" i="5"/>
  <c r="N64" i="5"/>
  <c r="N10" i="5"/>
  <c r="M63" i="5"/>
  <c r="N36" i="5"/>
  <c r="M79" i="5"/>
  <c r="M56" i="5"/>
  <c r="L52" i="5"/>
  <c r="M7" i="5"/>
  <c r="N67" i="5"/>
  <c r="L33" i="5"/>
  <c r="L100" i="5"/>
  <c r="N9" i="5"/>
  <c r="L30" i="5"/>
  <c r="M59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86" i="5"/>
  <c r="J10" i="5"/>
  <c r="J47" i="5"/>
  <c r="J16" i="5"/>
  <c r="J29" i="5"/>
  <c r="J32" i="5"/>
  <c r="J67" i="5"/>
  <c r="J55" i="5"/>
  <c r="J7" i="5"/>
  <c r="J66" i="5"/>
  <c r="J62" i="5"/>
  <c r="J63" i="5"/>
  <c r="J5" i="5"/>
  <c r="J42" i="5"/>
  <c r="J88" i="5"/>
  <c r="J51" i="5"/>
  <c r="J12" i="5"/>
  <c r="J39" i="5"/>
  <c r="J53" i="5"/>
  <c r="J81" i="5"/>
  <c r="J49" i="5"/>
  <c r="J61" i="5"/>
  <c r="J38" i="5"/>
  <c r="J8" i="5"/>
  <c r="J87" i="5"/>
  <c r="J74" i="5"/>
  <c r="J40" i="5"/>
  <c r="J83" i="5"/>
  <c r="J13" i="5"/>
  <c r="J31" i="5"/>
  <c r="J85" i="5"/>
  <c r="J95" i="5"/>
  <c r="J52" i="5"/>
  <c r="J84" i="5"/>
  <c r="J34" i="5"/>
  <c r="J2" i="5"/>
  <c r="J3" i="5"/>
  <c r="J82" i="5"/>
  <c r="J9" i="5"/>
  <c r="J60" i="5"/>
  <c r="J99" i="5"/>
  <c r="J41" i="5"/>
  <c r="J33" i="5"/>
  <c r="J89" i="5"/>
  <c r="J71" i="5"/>
  <c r="J75" i="5"/>
  <c r="J19" i="5"/>
  <c r="J30" i="5"/>
  <c r="J72" i="5"/>
  <c r="J48" i="5"/>
  <c r="J37" i="5"/>
  <c r="J98" i="5"/>
  <c r="J26" i="5"/>
  <c r="J57" i="5"/>
  <c r="J46" i="5"/>
  <c r="J73" i="5"/>
  <c r="J56" i="5"/>
  <c r="J24" i="5"/>
  <c r="J90" i="5"/>
  <c r="J96" i="5"/>
  <c r="J93" i="5"/>
  <c r="J64" i="5"/>
  <c r="J36" i="5"/>
  <c r="J23" i="5"/>
  <c r="J20" i="5"/>
  <c r="J69" i="5"/>
  <c r="J101" i="5"/>
  <c r="J76" i="5"/>
  <c r="J14" i="5"/>
  <c r="J35" i="5"/>
  <c r="J6" i="5"/>
  <c r="J79" i="5"/>
  <c r="J68" i="5"/>
  <c r="J4" i="5"/>
  <c r="J91" i="5"/>
  <c r="J100" i="5"/>
  <c r="J92" i="5"/>
  <c r="J50" i="5"/>
  <c r="J45" i="5"/>
  <c r="J22" i="5"/>
  <c r="J77" i="5"/>
  <c r="J25" i="5"/>
  <c r="J28" i="5"/>
  <c r="J65" i="5"/>
  <c r="J18" i="5"/>
  <c r="J70" i="5"/>
  <c r="J58" i="5"/>
  <c r="J21" i="5"/>
  <c r="J11" i="5"/>
  <c r="J94" i="5"/>
  <c r="J80" i="5"/>
  <c r="J59" i="5"/>
  <c r="J15" i="5"/>
  <c r="J43" i="5"/>
  <c r="J44" i="5"/>
  <c r="J97" i="5"/>
  <c r="J78" i="5"/>
  <c r="J27" i="5"/>
  <c r="J54" i="5"/>
  <c r="J17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30" i="5"/>
  <c r="G70" i="5"/>
  <c r="G84" i="5"/>
  <c r="G45" i="5"/>
  <c r="G68" i="5"/>
  <c r="G13" i="5"/>
  <c r="G25" i="5"/>
  <c r="G49" i="5"/>
  <c r="G12" i="5"/>
  <c r="G9" i="5"/>
  <c r="G56" i="5"/>
  <c r="G16" i="5"/>
  <c r="G23" i="5"/>
  <c r="G83" i="5"/>
  <c r="G78" i="5"/>
  <c r="G77" i="5"/>
  <c r="G66" i="5"/>
  <c r="G79" i="5"/>
  <c r="G99" i="5"/>
  <c r="G65" i="5"/>
  <c r="G86" i="5"/>
  <c r="G87" i="5"/>
  <c r="G71" i="5"/>
  <c r="G59" i="5"/>
  <c r="G27" i="5"/>
  <c r="G18" i="5"/>
  <c r="G93" i="5"/>
  <c r="G82" i="5"/>
  <c r="G52" i="5"/>
  <c r="G8" i="5"/>
  <c r="G60" i="5"/>
  <c r="G89" i="5"/>
  <c r="G62" i="5"/>
  <c r="G43" i="5"/>
  <c r="G39" i="5"/>
  <c r="G5" i="5"/>
  <c r="G46" i="5"/>
  <c r="G24" i="5"/>
  <c r="G96" i="5"/>
  <c r="G29" i="5"/>
  <c r="G42" i="5"/>
  <c r="G33" i="5"/>
  <c r="G40" i="5"/>
  <c r="G91" i="5"/>
  <c r="G67" i="5"/>
  <c r="G63" i="5"/>
  <c r="G97" i="5"/>
  <c r="G69" i="5"/>
  <c r="G11" i="5"/>
  <c r="G61" i="5"/>
  <c r="G10" i="5"/>
  <c r="G36" i="5"/>
  <c r="G4" i="5"/>
  <c r="G51" i="5"/>
  <c r="G88" i="5"/>
  <c r="G58" i="5"/>
  <c r="G76" i="5"/>
  <c r="G53" i="5"/>
  <c r="G3" i="5"/>
  <c r="G81" i="5"/>
  <c r="G17" i="5"/>
  <c r="G48" i="5"/>
  <c r="G92" i="5"/>
  <c r="G28" i="5"/>
  <c r="G90" i="5"/>
  <c r="G64" i="5"/>
  <c r="G54" i="5"/>
  <c r="G73" i="5"/>
  <c r="G35" i="5"/>
  <c r="G94" i="5"/>
  <c r="G75" i="5"/>
  <c r="G6" i="5"/>
  <c r="G57" i="5"/>
  <c r="G7" i="5"/>
  <c r="G101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14" i="5"/>
  <c r="G55" i="5"/>
  <c r="G41" i="5"/>
  <c r="G44" i="5"/>
  <c r="G47" i="5"/>
  <c r="G50" i="5"/>
  <c r="G15" i="5"/>
  <c r="G74" i="5"/>
  <c r="G95" i="5"/>
  <c r="G19" i="5"/>
  <c r="G100" i="5"/>
  <c r="G22" i="5"/>
  <c r="G26" i="5"/>
  <c r="G21" i="5"/>
  <c r="G32" i="5"/>
  <c r="G2" i="5"/>
  <c r="G80" i="5"/>
  <c r="G38" i="5"/>
  <c r="G98" i="5"/>
  <c r="G31" i="5"/>
  <c r="G85" i="5"/>
  <c r="G72" i="5"/>
  <c r="G34" i="5"/>
  <c r="G20" i="5"/>
  <c r="G37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54" i="5"/>
  <c r="F95" i="5"/>
  <c r="F16" i="5"/>
  <c r="F48" i="5"/>
  <c r="F74" i="5"/>
  <c r="F83" i="5"/>
  <c r="F45" i="5"/>
  <c r="F31" i="5"/>
  <c r="F27" i="5"/>
  <c r="F8" i="5"/>
  <c r="F81" i="5"/>
  <c r="F38" i="5"/>
  <c r="F57" i="5"/>
  <c r="F66" i="5"/>
  <c r="F43" i="5"/>
  <c r="F10" i="5"/>
  <c r="F75" i="5"/>
  <c r="F12" i="5"/>
  <c r="F14" i="5"/>
  <c r="F11" i="5"/>
  <c r="F17" i="5"/>
  <c r="F76" i="5"/>
  <c r="F21" i="5"/>
  <c r="F53" i="5"/>
  <c r="F99" i="5"/>
  <c r="F71" i="5"/>
  <c r="F63" i="5"/>
  <c r="F6" i="5"/>
  <c r="F70" i="5"/>
  <c r="F77" i="5"/>
  <c r="F34" i="5"/>
  <c r="F36" i="5"/>
  <c r="F90" i="5"/>
  <c r="F4" i="5"/>
  <c r="F65" i="5"/>
  <c r="F25" i="5"/>
  <c r="F46" i="5"/>
  <c r="F24" i="5"/>
  <c r="F87" i="5"/>
  <c r="F22" i="5"/>
  <c r="F50" i="5"/>
  <c r="F18" i="5"/>
  <c r="F44" i="5"/>
  <c r="F7" i="5"/>
  <c r="F23" i="5"/>
  <c r="F5" i="5"/>
  <c r="F29" i="5"/>
  <c r="F79" i="5"/>
  <c r="F78" i="5"/>
  <c r="F61" i="5"/>
  <c r="F28" i="5"/>
  <c r="F33" i="5"/>
  <c r="F15" i="5"/>
  <c r="F80" i="5"/>
  <c r="F47" i="5"/>
  <c r="F96" i="5"/>
  <c r="F35" i="5"/>
  <c r="F82" i="5"/>
  <c r="F9" i="5"/>
  <c r="F37" i="5"/>
  <c r="F3" i="5"/>
  <c r="F97" i="5"/>
  <c r="F30" i="5"/>
  <c r="F85" i="5"/>
  <c r="F32" i="5"/>
  <c r="F73" i="5"/>
  <c r="F49" i="5"/>
  <c r="F91" i="5"/>
  <c r="F58" i="5"/>
  <c r="F59" i="5"/>
  <c r="F94" i="5"/>
  <c r="F88" i="5"/>
  <c r="F40" i="5"/>
  <c r="F64" i="5"/>
  <c r="F84" i="5"/>
  <c r="F93" i="5"/>
  <c r="F89" i="5"/>
  <c r="F60" i="5"/>
  <c r="F62" i="5"/>
  <c r="F56" i="5"/>
  <c r="F42" i="5"/>
  <c r="F26" i="5"/>
  <c r="F41" i="5"/>
  <c r="F92" i="5"/>
  <c r="F2" i="5"/>
  <c r="F72" i="5"/>
  <c r="F19" i="5"/>
  <c r="F101" i="5"/>
  <c r="F52" i="5"/>
  <c r="F39" i="5"/>
  <c r="F13" i="5"/>
  <c r="F86" i="5"/>
  <c r="F100" i="5"/>
  <c r="F67" i="5"/>
  <c r="F20" i="5"/>
  <c r="F51" i="5"/>
  <c r="F98" i="5"/>
  <c r="F69" i="5"/>
  <c r="F68" i="5"/>
  <c r="F55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95" i="5"/>
  <c r="H68" i="5"/>
  <c r="H9" i="5"/>
  <c r="H29" i="5"/>
  <c r="H70" i="5"/>
  <c r="H17" i="5"/>
  <c r="H7" i="5"/>
  <c r="H60" i="5"/>
  <c r="H19" i="5"/>
  <c r="H72" i="5"/>
  <c r="H86" i="5"/>
  <c r="H30" i="5"/>
  <c r="H32" i="5"/>
  <c r="H13" i="5"/>
  <c r="H23" i="5"/>
  <c r="H38" i="5"/>
  <c r="H88" i="5"/>
  <c r="H56" i="5"/>
  <c r="H75" i="5"/>
  <c r="H4" i="5"/>
  <c r="H77" i="5"/>
  <c r="H6" i="5"/>
  <c r="H67" i="5"/>
  <c r="H57" i="5"/>
  <c r="H81" i="5"/>
  <c r="H3" i="5"/>
  <c r="H18" i="5"/>
  <c r="H31" i="5"/>
  <c r="H71" i="5"/>
  <c r="H15" i="5"/>
  <c r="H27" i="5"/>
  <c r="H40" i="5"/>
  <c r="H43" i="5"/>
  <c r="H89" i="5"/>
  <c r="H39" i="5"/>
  <c r="H73" i="5"/>
  <c r="H21" i="5"/>
  <c r="H48" i="5"/>
  <c r="H51" i="5"/>
  <c r="H82" i="5"/>
  <c r="H99" i="5"/>
  <c r="H87" i="5"/>
  <c r="H5" i="5"/>
  <c r="H11" i="5"/>
  <c r="H50" i="5"/>
  <c r="H46" i="5"/>
  <c r="H91" i="5"/>
  <c r="H58" i="5"/>
  <c r="H76" i="5"/>
  <c r="H83" i="5"/>
  <c r="H74" i="5"/>
  <c r="H80" i="5"/>
  <c r="H35" i="5"/>
  <c r="H79" i="5"/>
  <c r="H12" i="5"/>
  <c r="H66" i="5"/>
  <c r="H85" i="5"/>
  <c r="H61" i="5"/>
  <c r="H54" i="5"/>
  <c r="H93" i="5"/>
  <c r="H90" i="5"/>
  <c r="H24" i="5"/>
  <c r="H63" i="5"/>
  <c r="H96" i="5"/>
  <c r="H25" i="5"/>
  <c r="H53" i="5"/>
  <c r="H84" i="5"/>
  <c r="H28" i="5"/>
  <c r="H36" i="5"/>
  <c r="H94" i="5"/>
  <c r="H2" i="5"/>
  <c r="H34" i="5"/>
  <c r="H26" i="5"/>
  <c r="H16" i="5"/>
  <c r="H65" i="5"/>
  <c r="H42" i="5"/>
  <c r="H20" i="5"/>
  <c r="H69" i="5"/>
  <c r="H44" i="5"/>
  <c r="H45" i="5"/>
  <c r="H52" i="5"/>
  <c r="H8" i="5"/>
  <c r="H59" i="5"/>
  <c r="H33" i="5"/>
  <c r="H62" i="5"/>
  <c r="H49" i="5"/>
  <c r="H14" i="5"/>
  <c r="H22" i="5"/>
  <c r="H41" i="5"/>
  <c r="H47" i="5"/>
  <c r="H100" i="5"/>
  <c r="H98" i="5"/>
  <c r="H78" i="5"/>
  <c r="H92" i="5"/>
  <c r="H97" i="5"/>
  <c r="H10" i="5"/>
  <c r="H64" i="5"/>
  <c r="H55" i="5"/>
  <c r="H101" i="5"/>
  <c r="H37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39" i="5"/>
  <c r="I26" i="5"/>
  <c r="I24" i="5"/>
  <c r="I65" i="5"/>
  <c r="I56" i="5"/>
  <c r="I78" i="5"/>
  <c r="I10" i="5"/>
  <c r="I52" i="5"/>
  <c r="I99" i="5"/>
  <c r="I29" i="5"/>
  <c r="I81" i="5"/>
  <c r="I23" i="5"/>
  <c r="I100" i="5"/>
  <c r="I4" i="5"/>
  <c r="I69" i="5"/>
  <c r="I21" i="5"/>
  <c r="I32" i="5"/>
  <c r="I14" i="5"/>
  <c r="I89" i="5"/>
  <c r="I54" i="5"/>
  <c r="I70" i="5"/>
  <c r="I64" i="5"/>
  <c r="I41" i="5"/>
  <c r="I62" i="5"/>
  <c r="I88" i="5"/>
  <c r="I87" i="5"/>
  <c r="I8" i="5"/>
  <c r="I60" i="5"/>
  <c r="I28" i="5"/>
  <c r="I31" i="5"/>
  <c r="I30" i="5"/>
  <c r="I74" i="5"/>
  <c r="I93" i="5"/>
  <c r="I59" i="5"/>
  <c r="I77" i="5"/>
  <c r="I20" i="5"/>
  <c r="I3" i="5"/>
  <c r="I19" i="5"/>
  <c r="I73" i="5"/>
  <c r="I37" i="5"/>
  <c r="I16" i="5"/>
  <c r="I27" i="5"/>
  <c r="I6" i="5"/>
  <c r="I17" i="5"/>
  <c r="I5" i="5"/>
  <c r="I33" i="5"/>
  <c r="I97" i="5"/>
  <c r="I75" i="5"/>
  <c r="I86" i="5"/>
  <c r="I94" i="5"/>
  <c r="I12" i="5"/>
  <c r="I35" i="5"/>
  <c r="I46" i="5"/>
  <c r="I47" i="5"/>
  <c r="I38" i="5"/>
  <c r="I25" i="5"/>
  <c r="I34" i="5"/>
  <c r="I82" i="5"/>
  <c r="I92" i="5"/>
  <c r="I63" i="5"/>
  <c r="I76" i="5"/>
  <c r="I45" i="5"/>
  <c r="I79" i="5"/>
  <c r="I72" i="5"/>
  <c r="I101" i="5"/>
  <c r="I98" i="5"/>
  <c r="I15" i="5"/>
  <c r="I44" i="5"/>
  <c r="I22" i="5"/>
  <c r="I96" i="5"/>
  <c r="I85" i="5"/>
  <c r="I43" i="5"/>
  <c r="I91" i="5"/>
  <c r="I42" i="5"/>
  <c r="I49" i="5"/>
  <c r="I51" i="5"/>
  <c r="I84" i="5"/>
  <c r="I68" i="5"/>
  <c r="I2" i="5"/>
  <c r="I11" i="5"/>
  <c r="I61" i="5"/>
  <c r="I50" i="5"/>
  <c r="I53" i="5"/>
  <c r="I90" i="5"/>
  <c r="I66" i="5"/>
  <c r="I83" i="5"/>
  <c r="I55" i="5"/>
  <c r="I40" i="5"/>
  <c r="I80" i="5"/>
  <c r="I71" i="5"/>
  <c r="I67" i="5"/>
  <c r="I58" i="5"/>
  <c r="I9" i="5"/>
  <c r="I7" i="5"/>
  <c r="I36" i="5"/>
  <c r="I57" i="5"/>
  <c r="I18" i="5"/>
  <c r="I95" i="5"/>
  <c r="I48" i="5"/>
  <c r="I13" i="5"/>
  <c r="C135" i="1" l="1" a="1"/>
  <c r="C135" i="1" s="1"/>
  <c r="D135" i="1" a="1"/>
  <c r="D135" i="1" s="1"/>
  <c r="C133" i="4"/>
  <c r="D133" i="4" s="1"/>
  <c r="E133" i="4" s="1" a="1"/>
  <c r="E133" i="4" s="1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53" i="5"/>
  <c r="E54" i="5"/>
  <c r="E16" i="5"/>
  <c r="E46" i="5"/>
  <c r="E55" i="5"/>
  <c r="E13" i="5"/>
  <c r="E18" i="5"/>
  <c r="E86" i="5"/>
  <c r="E43" i="5"/>
  <c r="E51" i="5"/>
  <c r="E67" i="5"/>
  <c r="E7" i="5"/>
  <c r="E71" i="5"/>
  <c r="E70" i="5"/>
  <c r="E58" i="5"/>
  <c r="E57" i="5"/>
  <c r="E84" i="5"/>
  <c r="E4" i="5"/>
  <c r="E39" i="5"/>
  <c r="E6" i="5"/>
  <c r="E42" i="5"/>
  <c r="E64" i="5"/>
  <c r="E34" i="5"/>
  <c r="E12" i="5"/>
  <c r="E94" i="5"/>
  <c r="E93" i="5"/>
  <c r="E44" i="5"/>
  <c r="E59" i="5"/>
  <c r="E17" i="5"/>
  <c r="E69" i="5"/>
  <c r="E61" i="5"/>
  <c r="E3" i="5"/>
  <c r="E78" i="5"/>
  <c r="E5" i="5"/>
  <c r="E32" i="5"/>
  <c r="E98" i="5"/>
  <c r="E36" i="5"/>
  <c r="E87" i="5"/>
  <c r="E80" i="5"/>
  <c r="E47" i="5"/>
  <c r="E20" i="5"/>
  <c r="E52" i="5"/>
  <c r="E9" i="5"/>
  <c r="E66" i="5"/>
  <c r="E89" i="5"/>
  <c r="E48" i="5"/>
  <c r="E56" i="5"/>
  <c r="E40" i="5"/>
  <c r="E100" i="5"/>
  <c r="E96" i="5"/>
  <c r="E14" i="5"/>
  <c r="E30" i="5"/>
  <c r="E73" i="5"/>
  <c r="E10" i="5"/>
  <c r="E97" i="5"/>
  <c r="E85" i="5"/>
  <c r="E33" i="5"/>
  <c r="E29" i="5"/>
  <c r="E15" i="5"/>
  <c r="E77" i="5"/>
  <c r="E99" i="5"/>
  <c r="E27" i="5"/>
  <c r="E45" i="5"/>
  <c r="E68" i="5"/>
  <c r="E101" i="5"/>
  <c r="E91" i="5"/>
  <c r="E62" i="5"/>
  <c r="E25" i="5"/>
  <c r="E35" i="5"/>
  <c r="E31" i="5"/>
  <c r="E74" i="5"/>
  <c r="E28" i="5"/>
  <c r="E65" i="5"/>
  <c r="E83" i="5"/>
  <c r="E24" i="5"/>
  <c r="E95" i="5"/>
  <c r="E21" i="5"/>
  <c r="E79" i="5"/>
  <c r="E22" i="5"/>
  <c r="E41" i="5"/>
  <c r="E81" i="5"/>
  <c r="E11" i="5"/>
  <c r="E49" i="5"/>
  <c r="E72" i="5"/>
  <c r="E92" i="5"/>
  <c r="E76" i="5"/>
  <c r="E88" i="5"/>
  <c r="E19" i="5"/>
  <c r="E90" i="5"/>
  <c r="E60" i="5"/>
  <c r="E38" i="5"/>
  <c r="E26" i="5"/>
  <c r="E75" i="5"/>
  <c r="E82" i="5"/>
  <c r="E8" i="5"/>
  <c r="E23" i="5"/>
  <c r="E2" i="5"/>
  <c r="E63" i="5"/>
  <c r="E37" i="5"/>
  <c r="E50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<sst xmlns="http://schemas.openxmlformats.org/spreadsheetml/2006/main" count="326" uniqueCount="251">
  <si>
    <t>^</t>
  </si>
  <si>
    <t>KANBAN</t>
  </si>
  <si>
    <t>ARCHIVADO</t>
  </si>
  <si>
    <t>IMPORTANTE</t>
  </si>
  <si>
    <t>NORMAL</t>
  </si>
  <si>
    <t>URGENTE</t>
  </si>
  <si>
    <t>COMPLETADO</t>
  </si>
  <si>
    <t>EN ESPERA</t>
  </si>
  <si>
    <t>EN PROGRESO</t>
  </si>
  <si>
    <t>POR HACER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</si>
  <si>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</si>
  <si>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</si>
  <si>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</si>
  <si>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</si>
  <si>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</si>
  <si>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</si>
  <si>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</si>
  <si>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</si>
  <si>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</si>
  <si>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</si>
  <si>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</si>
  <si>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</si>
  <si>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</si>
  <si>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</si>
  <si>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</si>
  <si>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</si>
  <si>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</si>
  <si>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</si>
  <si>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</si>
  <si>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</si>
  <si>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</si>
  <si>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</si>
  <si>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</si>
  <si>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</si>
  <si>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</si>
  <si>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</si>
  <si>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</si>
  <si>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</si>
  <si>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</si>
  <si>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</si>
  <si>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</si>
  <si>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</si>
  <si>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</si>
  <si>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</si>
  <si>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</si>
  <si>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</si>
  <si>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</si>
  <si>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</si>
  <si>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</si>
  <si>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</si>
  <si>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</si>
  <si>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</si>
  <si>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</si>
  <si>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</si>
  <si>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</si>
  <si>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</si>
  <si>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</si>
  <si>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</si>
  <si>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</si>
  <si>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</si>
  <si>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</si>
  <si>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</si>
  <si>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</si>
  <si>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</si>
  <si>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</si>
  <si>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</si>
  <si>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</si>
  <si>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</si>
  <si>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</si>
  <si>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</si>
  <si>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</si>
  <si>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</si>
  <si>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</si>
  <si>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</si>
  <si>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</si>
  <si>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</si>
  <si>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</si>
  <si>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</si>
  <si>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</si>
  <si>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</si>
  <si>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</si>
  <si>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</si>
  <si>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</si>
  <si>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</si>
  <si>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</si>
  <si>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</si>
  <si>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</si>
  <si>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</si>
  <si>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</si>
  <si>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</si>
  <si>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</si>
  <si>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</si>
  <si>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</si>
  <si>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</si>
  <si>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</si>
  <si>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</si>
  <si>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</si>
  <si>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</si>
  <si>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</si>
  <si>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</si>
  <si>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</si>
  <si>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</si>
  <si>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</si>
  <si>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</si>
  <si>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</si>
  <si>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</si>
  <si>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</si>
  <si>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</si>
  <si>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</si>
  <si>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</si>
  <si>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</si>
  <si>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</si>
  <si>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</si>
  <si>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</si>
  <si>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</si>
  <si>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</si>
  <si>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</si>
  <si>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</si>
  <si>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</si>
  <si>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</si>
  <si>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</si>
  <si>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</si>
  <si>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</si>
  <si>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</si>
  <si>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</si>
  <si>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</si>
  <si>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</si>
  <si>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</si>
  <si>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</si>
  <si>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</si>
  <si>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</si>
  <si>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</si>
  <si>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</si>
  <si>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</si>
  <si>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</si>
  <si>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</si>
  <si>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</si>
  <si>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</si>
  <si>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</si>
  <si>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</si>
  <si>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</si>
  <si>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</si>
  <si>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</si>
  <si>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</si>
  <si>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</si>
  <si>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</si>
  <si>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</si>
  <si>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</si>
  <si>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</si>
  <si>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</si>
  <si>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</si>
  <si>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</si>
  <si>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</si>
  <si>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</si>
  <si>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</si>
  <si>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</si>
  <si>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</si>
  <si>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</si>
  <si>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</si>
  <si>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</si>
  <si>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</si>
  <si>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</si>
  <si>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</si>
  <si>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</si>
  <si>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</si>
  <si>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</si>
  <si>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</si>
  <si>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</si>
  <si>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</si>
  <si>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</si>
  <si>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</si>
  <si>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</si>
  <si>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</si>
  <si>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</si>
  <si>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</si>
  <si>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</si>
  <si>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</si>
  <si>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</si>
  <si>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</si>
  <si>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</si>
  <si>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</si>
  <si>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</si>
  <si>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</si>
  <si>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</si>
  <si>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</si>
  <si>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</si>
  <si>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</si>
  <si>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</si>
  <si>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</si>
  <si>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</si>
  <si>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</si>
  <si>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</si>
  <si>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</si>
  <si>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</si>
  <si>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</si>
  <si>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</si>
  <si>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</si>
  <si>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</si>
  <si>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</si>
  <si>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</si>
  <si>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</si>
  <si>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</si>
  <si>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</si>
  <si>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</si>
  <si>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</si>
  <si>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</si>
  <si>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</si>
  <si>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</si>
  <si>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</si>
  <si>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</si>
  <si>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</si>
  <si>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</si>
  <si>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</si>
  <si>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</si>
  <si>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</si>
  <si>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Leidy Saraguro</t>
  </si>
  <si>
    <t>Alexander Ñacato</t>
  </si>
  <si>
    <t>Erick Obando</t>
  </si>
  <si>
    <t>Jonathan Jaguaco</t>
  </si>
  <si>
    <t>REQ001 - Inicio de Sesión</t>
  </si>
  <si>
    <t>REQ002 - Gestionar Transportistas</t>
  </si>
  <si>
    <t>REQ003 - Gestionar Viajes</t>
  </si>
  <si>
    <t>REQ004 - Monitorear Viajes</t>
  </si>
  <si>
    <t>REQ005 - Crear Transportista</t>
  </si>
  <si>
    <t>REQ006 - Ingresar Documentación</t>
  </si>
  <si>
    <t>REQ007 - Verificar Documentación</t>
  </si>
  <si>
    <t>REQ008 - Recuperar Contraseña</t>
  </si>
  <si>
    <t>REQ009 - Editar Transportista</t>
  </si>
  <si>
    <t>REQ010 - Eliminar Transportista</t>
  </si>
  <si>
    <t>REQ011 - Crear Viajes</t>
  </si>
  <si>
    <t>REQ012 - Consultar Viajes</t>
  </si>
  <si>
    <t>REQ013 - Creación de Base de Datos</t>
  </si>
  <si>
    <t>REQ014 - Autenticación con Base de Datos</t>
  </si>
  <si>
    <t>REQ015 - Backend Gestionar Transportistas y Documentación</t>
  </si>
  <si>
    <t>REQ016 - Backend Gestionar y Monitorear Viajes</t>
  </si>
  <si>
    <t>Validar las credenciales del usuario según su rol para permitir el acceso al sistema con los permisos y funcionalidades correspondientes.</t>
  </si>
  <si>
    <t>Mostrar un listado detallado de los transportistas con su información y estado dentro del sistema.</t>
  </si>
  <si>
    <t>Visualizar en un mapa la ubicación y ejecución de cada viaje en tiempo real.</t>
  </si>
  <si>
    <t>Controlar y supervisar los viajes de transporte, detectando imprevistos y notificando a los transportistas para la ejecución de los protocolos correspondientes.</t>
  </si>
  <si>
    <t>Registrar un nuevo transportista con la información requerida para habilitar su acceso al sistema.</t>
  </si>
  <si>
    <t>Cargar la documentación laboral requerida para habilitar la asignación de viajes en el sistema.</t>
  </si>
  <si>
    <t>Validar la documentación laboral de los transportistas para verificar su validez legal dentro del sistema.</t>
  </si>
  <si>
    <t>Permitir a los usuarios recuperar su contraseña para restablecer el acceso al sistema.</t>
  </si>
  <si>
    <t>Actualizar la información del vehículo del transportista para mantener los datos actualizados en el sistema.</t>
  </si>
  <si>
    <t>Eliminar transportistas del sistema para impedir que sus cuentas tengan acceso a la plataforma.</t>
  </si>
  <si>
    <t>Registrar nuevos viajes para generar cargas laborales y asignarlas a los transportistas.</t>
  </si>
  <si>
    <t>Visualizar los viajes con sus detalles, estado y transportista asignado para conocer su situación operativa.</t>
  </si>
  <si>
    <t>Implementar una base de datos relacional con roles y permisos para administrar de forma organizada la información del sistema.</t>
  </si>
  <si>
    <t>Validar las credenciales ingresadas en el formulario de inicio de sesión contra la base de datos para permitir el acceso seguro según el rol del usuario.</t>
  </si>
  <si>
    <t>Gestionar transportistas y su documentación mediante operaciones de registro, edición, suspensión y eliminación para administrar su información y habilitar la asignación de viajes.</t>
  </si>
  <si>
    <t>Gestionar los viajes mediante su creación, asignación y monitoreo en tiempo real para administrar y supervisar su ejecución.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</si>
</sst>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Normal="100" workbookViewId="0">
      <pane ySplit="4" topLeftCell="A5" activePane="bottomLeft" state="frozen"/>
      <selection pane="bottomLeft" activeCell="O2" sqref="O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77734375" style="2" hidden="1"/>
  </cols>
  <sheetData>
    <row r="1" spans="2:51" ht="15" thickBot="1" x14ac:dyDescent="0.35"/>
    <row r="2" spans="2:51" ht="15" thickBot="1" x14ac:dyDescent="0.35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(0 de 17)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17)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17)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(16 de 17)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(1 de 17)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17)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17)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17)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17)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17)</v>
      </c>
      <c r="AW4" s="108"/>
      <c r="AX4" s="108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6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16: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REQ016 - Backend Gestionar y Monitorear Viajes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>Tarea 84:</v>
      </c>
      <c r="X6" s="106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>0</v>
      </c>
      <c r="Y6" s="106" t="e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>#VALUE!</v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6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Gestionar los viajes mediante su creación, asignación y monitoreo en tiempo real para administrar y supervisar su ejecución.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>Descripción:</v>
      </c>
      <c r="X7" s="106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>0</v>
      </c>
      <c r="Y7" s="106" t="e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>#VALUE!</v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6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6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46202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>Inicio:</v>
      </c>
      <c r="X8" s="106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>0</v>
      </c>
      <c r="Y8" s="106" t="e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>#VALUE!</v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6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6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46204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>Previsto:</v>
      </c>
      <c r="X9" s="106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>0</v>
      </c>
      <c r="Y9" s="106" t="e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>#VALUE!</v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6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6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46205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>Final:</v>
      </c>
      <c r="X10" s="106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>0</v>
      </c>
      <c r="Y10" s="106" t="e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>#VALUE!</v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6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>Duración:</v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e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>#VALUE!</v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6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1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>Retraso:</v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e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>#VALUE!</v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Erick Obando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>Asignado:</v>
      </c>
      <c r="X13" s="106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>0</v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15: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REQ015 - Backend Gestionar Transportistas y Documentación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Gestionar transportistas y su documentación mediante operaciones de registro, edición, suspensión y eliminación para administrar su información y habilitar la asignación de viajes.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46202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46204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46205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4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1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Jonathan Jaguaco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14: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REQ014 - Autenticación con Base de Datos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Validar las credenciales ingresadas en el formulario de inicio de sesión contra la base de datos para permitir el acceso seguro según el rol del usuario.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46202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46204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46205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1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Leidy Saraguro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13: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REQ013 - Creación de Base de Datos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Implementar una base de datos relacional con roles y permisos para administrar de forma organizada la información del sistema.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46202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46204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46205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4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1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Alexander Ñacato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12: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REQ012 - Consultar Viajes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Visualizar los viajes con sus detalles, estado y transportista asignado para conocer su situación operativa.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46195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46197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46198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Jonathan Jaguaco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11: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REQ011 - Crear Viajes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Registrar nuevos viajes para generar cargas laborales y asignarlas a los transportistas.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46195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46197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46198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4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Erick Obando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10: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REQ010 - Eliminar Transportista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Eliminar transportistas del sistema para impedir que sus cuentas tengan acceso a la plataforma.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46195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46197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46198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4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1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Alexander Ñacato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9: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REQ009 - Editar Transportista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Actualizar la información del vehículo del transportista para mantener los datos actualizados en el sistema.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46195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46197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46198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1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Leidy Saraguro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8: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REQ008 - Recuperar Contraseña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Permitir a los usuarios recuperar su contraseña para restablecer el acceso al sistema.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46188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46190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46191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Erick Obando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7: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REQ007 - Verificar Documentación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Validar la documentación laboral de los transportistas para verificar su validez legal dentro del sistema.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46188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46190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46191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1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Jonathan Jaguaco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6: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REQ006 - Ingresar Documentación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Cargar la documentación laboral requerida para habilitar la asignación de viajes en el sistema.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46188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46190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46191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4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1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Leidy Saraguro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5: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REQ005 - Crear Transportista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Registrar un nuevo transportista con la información requerida para habilitar su acceso al sistema.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46188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46190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46191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4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1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Alexander Ñacato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4: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REQ004 - Monitorear Viajes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Controlar y supervisar los viajes de transporte, detectando imprevistos y notificando a los transportistas para la ejecución de los protocolos correspondientes.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46181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46183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46184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4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Alexander Ñacato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REQ003 - Gestionar Viajes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Visualizar en un mapa la ubicación y ejecución de cada viaje en tiempo real.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46181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46183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46184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1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Jonathan Jaguaco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2: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REQ002 - Gestionar Transportistas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Mostrar un listado detallado de los transportistas con su información y estado dentro del sistema.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46181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46183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46184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4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1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Erick Obando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REQ001 - Inicio de Sesión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Validar las credenciales del usuario según su rol para permitir el acceso al sistema con los permisos y funcionalidades correspondientes.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46181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46183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46184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4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1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Leidy Saraguro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6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6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6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6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6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6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6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6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6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6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6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6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6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6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6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6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6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6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6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6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6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6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6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6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6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6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6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6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6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6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6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6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6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6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6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6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6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6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6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6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6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6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6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6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6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6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6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6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6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6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6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6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6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6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6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6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6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6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6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218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77734375" style="3" customWidth="1"/>
    <col min="12" max="16384" width="10.777343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6</v>
      </c>
      <c r="B2" s="92" t="s">
        <v>3</v>
      </c>
      <c r="C2" s="102" t="s">
        <v>219</v>
      </c>
      <c r="D2" s="102" t="s">
        <v>235</v>
      </c>
      <c r="E2" s="103">
        <v>46181</v>
      </c>
      <c r="F2" s="93">
        <v>46183</v>
      </c>
      <c r="G2" s="93">
        <v>46184</v>
      </c>
      <c r="H2" s="43" t="str">
        <f>IF(Datos!$G2&gt;0,Datos!$G2-Datos!$E2+1 &amp; " " &amp; Idiomas!$A$29,"")</f>
        <v>4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1 días</v>
      </c>
      <c r="J2" s="92" t="s">
        <v>215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6</v>
      </c>
      <c r="B3" s="95" t="s">
        <v>3</v>
      </c>
      <c r="C3" s="95" t="s">
        <v>220</v>
      </c>
      <c r="D3" s="104" t="s">
        <v>236</v>
      </c>
      <c r="E3" s="105">
        <v>46181</v>
      </c>
      <c r="F3" s="96">
        <v>46183</v>
      </c>
      <c r="G3" s="96">
        <v>46184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6</v>
      </c>
      <c r="B4" s="92" t="s">
        <v>3</v>
      </c>
      <c r="C4" s="92" t="s">
        <v>221</v>
      </c>
      <c r="D4" s="92" t="s">
        <v>237</v>
      </c>
      <c r="E4" s="103">
        <v>46181</v>
      </c>
      <c r="F4" s="93">
        <v>46183</v>
      </c>
      <c r="G4" s="93">
        <v>46184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1 días</v>
      </c>
      <c r="J4" s="92" t="s">
        <v>218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6</v>
      </c>
      <c r="B5" s="95" t="s">
        <v>3</v>
      </c>
      <c r="C5" s="95" t="s">
        <v>222</v>
      </c>
      <c r="D5" s="95" t="s">
        <v>238</v>
      </c>
      <c r="E5" s="96">
        <v>46181</v>
      </c>
      <c r="F5" s="96">
        <v>46183</v>
      </c>
      <c r="G5" s="96">
        <v>46184</v>
      </c>
      <c r="H5" s="45" t="str">
        <f>IF(Datos!$G5&gt;0,Datos!$G5-Datos!$E5+1 &amp; " " &amp; Idiomas!$A$29,"")</f>
        <v>4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1 días</v>
      </c>
      <c r="J5" s="95" t="s">
        <v>216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6</v>
      </c>
      <c r="B6" s="92" t="s">
        <v>4</v>
      </c>
      <c r="C6" s="92" t="s">
        <v>223</v>
      </c>
      <c r="D6" s="92" t="s">
        <v>239</v>
      </c>
      <c r="E6" s="93">
        <v>46188</v>
      </c>
      <c r="F6" s="93">
        <v>46190</v>
      </c>
      <c r="G6" s="93">
        <v>46191</v>
      </c>
      <c r="H6" s="43" t="str">
        <f>IF(Datos!$G6&gt;0,Datos!$G6-Datos!$E6+1 &amp; " " &amp; Idiomas!$A$29,"")</f>
        <v>4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1 días</v>
      </c>
      <c r="J6" s="92" t="s">
        <v>216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6</v>
      </c>
      <c r="B7" s="95" t="s">
        <v>4</v>
      </c>
      <c r="C7" s="95" t="s">
        <v>224</v>
      </c>
      <c r="D7" s="95" t="s">
        <v>240</v>
      </c>
      <c r="E7" s="96">
        <v>46188</v>
      </c>
      <c r="F7" s="96">
        <v>46190</v>
      </c>
      <c r="G7" s="96">
        <v>46191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215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6</v>
      </c>
      <c r="B8" s="92" t="s">
        <v>3</v>
      </c>
      <c r="C8" s="92" t="s">
        <v>225</v>
      </c>
      <c r="D8" s="92" t="s">
        <v>241</v>
      </c>
      <c r="E8" s="93">
        <v>46188</v>
      </c>
      <c r="F8" s="93">
        <v>46190</v>
      </c>
      <c r="G8" s="93">
        <v>46191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1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6</v>
      </c>
      <c r="B9" s="95" t="s">
        <v>4</v>
      </c>
      <c r="C9" s="95" t="s">
        <v>226</v>
      </c>
      <c r="D9" s="95" t="s">
        <v>242</v>
      </c>
      <c r="E9" s="96">
        <v>46188</v>
      </c>
      <c r="F9" s="96">
        <v>46190</v>
      </c>
      <c r="G9" s="96">
        <v>46191</v>
      </c>
      <c r="H9" s="45" t="str">
        <f>IF(Datos!$G9&gt;0,Datos!$G9-Datos!$E9+1 &amp; " " &amp; Idiomas!$A$29,"")</f>
        <v>4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1 días</v>
      </c>
      <c r="J9" s="95" t="s">
        <v>217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6</v>
      </c>
      <c r="B10" s="92" t="s">
        <v>4</v>
      </c>
      <c r="C10" s="92" t="s">
        <v>227</v>
      </c>
      <c r="D10" s="92" t="s">
        <v>243</v>
      </c>
      <c r="E10" s="93">
        <v>46195</v>
      </c>
      <c r="F10" s="93">
        <v>46197</v>
      </c>
      <c r="G10" s="93">
        <v>46198</v>
      </c>
      <c r="H10" s="43" t="str">
        <f>IF(Datos!$G10&gt;0,Datos!$G10-Datos!$E10+1 &amp; " " &amp; Idiomas!$A$29,"")</f>
        <v>4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1 días</v>
      </c>
      <c r="J10" s="92" t="s">
        <v>215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6</v>
      </c>
      <c r="B11" s="95" t="s">
        <v>4</v>
      </c>
      <c r="C11" s="95" t="s">
        <v>228</v>
      </c>
      <c r="D11" s="95" t="s">
        <v>244</v>
      </c>
      <c r="E11" s="97">
        <v>46195</v>
      </c>
      <c r="F11" s="96">
        <v>46197</v>
      </c>
      <c r="G11" s="96">
        <v>46198</v>
      </c>
      <c r="H11" s="45" t="str">
        <f>IF(Datos!$G11&gt;0,Datos!$G11-Datos!$E11+1 &amp; " " &amp; Idiomas!$A$29,"")</f>
        <v>4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1 días</v>
      </c>
      <c r="J11" s="95" t="s">
        <v>216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6</v>
      </c>
      <c r="B12" s="92" t="s">
        <v>3</v>
      </c>
      <c r="C12" s="92" t="s">
        <v>229</v>
      </c>
      <c r="D12" s="92" t="s">
        <v>245</v>
      </c>
      <c r="E12" s="98">
        <v>46195</v>
      </c>
      <c r="F12" s="93">
        <v>46197</v>
      </c>
      <c r="G12" s="93">
        <v>46198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1 días</v>
      </c>
      <c r="J12" s="92" t="s">
        <v>217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6</v>
      </c>
      <c r="B13" s="95" t="s">
        <v>3</v>
      </c>
      <c r="C13" s="95" t="s">
        <v>230</v>
      </c>
      <c r="D13" s="104" t="s">
        <v>246</v>
      </c>
      <c r="E13" s="96">
        <v>46195</v>
      </c>
      <c r="F13" s="96">
        <v>46197</v>
      </c>
      <c r="G13" s="96">
        <v>46198</v>
      </c>
      <c r="H13" s="45" t="str">
        <f>IF(Datos!$G13&gt;0,Datos!$G13-Datos!$E13+1 &amp; " " &amp; Idiomas!$A$29,"")</f>
        <v>4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1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57.6" x14ac:dyDescent="0.3">
      <c r="A14" s="91" t="s">
        <v>6</v>
      </c>
      <c r="B14" s="92" t="s">
        <v>5</v>
      </c>
      <c r="C14" s="92" t="s">
        <v>231</v>
      </c>
      <c r="D14" s="102" t="s">
        <v>247</v>
      </c>
      <c r="E14" s="93">
        <v>46202</v>
      </c>
      <c r="F14" s="93">
        <v>46204</v>
      </c>
      <c r="G14" s="93">
        <v>46205</v>
      </c>
      <c r="H14" s="43" t="str">
        <f>IF(Datos!$G14&gt;0,Datos!$G14-Datos!$E14+1 &amp; " " &amp; Idiomas!$A$29,"")</f>
        <v>4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1 días</v>
      </c>
      <c r="J14" s="92" t="s">
        <v>216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6</v>
      </c>
      <c r="B15" s="95" t="s">
        <v>5</v>
      </c>
      <c r="C15" s="95" t="s">
        <v>232</v>
      </c>
      <c r="D15" s="95" t="s">
        <v>248</v>
      </c>
      <c r="E15" s="96">
        <v>46202</v>
      </c>
      <c r="F15" s="96">
        <v>46204</v>
      </c>
      <c r="G15" s="96">
        <v>46205</v>
      </c>
      <c r="H15" s="45" t="str">
        <f>IF(Datos!$G15&gt;0,Datos!$G15-Datos!$E15+1 &amp; " " &amp; Idiomas!$A$29,"")</f>
        <v>4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1 días</v>
      </c>
      <c r="J15" s="95" t="s">
        <v>215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3">
      <c r="A16" s="91" t="s">
        <v>6</v>
      </c>
      <c r="B16" s="92" t="s">
        <v>5</v>
      </c>
      <c r="C16" s="92" t="s">
        <v>233</v>
      </c>
      <c r="D16" s="92" t="s">
        <v>249</v>
      </c>
      <c r="E16" s="93">
        <v>46202</v>
      </c>
      <c r="F16" s="93">
        <v>46204</v>
      </c>
      <c r="G16" s="93">
        <v>46205</v>
      </c>
      <c r="H16" s="43" t="str">
        <f>IF(Datos!$G16&gt;0,Datos!$G16-Datos!$E16+1 &amp; " " &amp; Idiomas!$A$29,"")</f>
        <v>4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1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6</v>
      </c>
      <c r="B17" s="95" t="s">
        <v>5</v>
      </c>
      <c r="C17" s="95" t="s">
        <v>234</v>
      </c>
      <c r="D17" s="95" t="s">
        <v>250</v>
      </c>
      <c r="E17" s="96">
        <v>46202</v>
      </c>
      <c r="F17" s="96">
        <v>46204</v>
      </c>
      <c r="G17" s="96">
        <v>46205</v>
      </c>
      <c r="H17" s="45" t="str">
        <f>IF(Datos!$G17&gt;0,Datos!$G17-Datos!$E17+1 &amp; " " &amp; Idiomas!$A$29,"")</f>
        <v>4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1 días</v>
      </c>
      <c r="J17" s="95" t="s">
        <v>217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95"/>
      <c r="D21" s="95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x14ac:dyDescent="0.3">
      <c r="A85" s="94" t="s">
        <v>2</v>
      </c>
      <c r="B85" s="95" t="s">
        <v>4</v>
      </c>
      <c r="C85" s="95"/>
      <c r="D85" s="95"/>
      <c r="E85" s="96"/>
      <c r="F85" s="96"/>
      <c r="G85" s="96"/>
      <c r="H85" s="45" t="str">
        <f>IF(Datos!$G85&gt;0,Datos!$G85-Datos!$E85+1 &amp; " " &amp; Idiomas!$A$29,"")</f>
        <v/>
      </c>
      <c r="I85" s="45" t="str" cm="1">
        <f t="array" ref="I85">IF(OR(Datos!$G85="",Datos!$A85=""),"",IF(AND(Datos!$G85=0,Datos!$F85&gt;0,Fecha_Hoy&gt;Datos!$F85),Fecha_Hoy-Datos!$F85,IF(Datos!$F85&lt;Datos!$G85,Datos!$G85-Datos!$F85,0))&amp; " " &amp; Idiomas!$A$29)</f>
        <v/>
      </c>
      <c r="J85" s="95"/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7" workbookViewId="0">
      <selection activeCell="F13" sqref="F1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77734375" style="2" hidden="1"/>
  </cols>
  <sheetData>
    <row r="1" spans="2:9" ht="15" customHeight="1" x14ac:dyDescent="0.3"/>
    <row r="2" spans="2:9" ht="15" customHeight="1" x14ac:dyDescent="0.3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10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">
      <c r="E3" s="8" t="s">
        <v>11</v>
      </c>
      <c r="F3" s="113" t="s">
        <v>12</v>
      </c>
      <c r="G3" s="113"/>
      <c r="H3" s="113"/>
    </row>
    <row r="4" spans="2:9" x14ac:dyDescent="0.3">
      <c r="B4" s="89" t="str">
        <f>Idiomas!$A$3</f>
        <v>Idioma</v>
      </c>
      <c r="E4" s="8" t="s">
        <v>13</v>
      </c>
      <c r="F4" s="114" t="s">
        <v>14</v>
      </c>
      <c r="G4" s="114"/>
      <c r="H4" s="114"/>
    </row>
    <row r="5" spans="2:9" ht="15" customHeight="1" x14ac:dyDescent="0.3">
      <c r="B5" s="90" t="s">
        <v>15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16</v>
      </c>
    </row>
    <row r="9" spans="2:9" x14ac:dyDescent="0.3">
      <c r="B9" s="75" t="s">
        <v>9</v>
      </c>
      <c r="D9" s="72" t="s">
        <v>5</v>
      </c>
      <c r="F9" s="68" t="s">
        <v>215</v>
      </c>
      <c r="H9" s="66" t="str">
        <f>Idiomas!$A$12</f>
        <v>Tarea</v>
      </c>
      <c r="I9" s="85">
        <v>1</v>
      </c>
    </row>
    <row r="10" spans="2:9" x14ac:dyDescent="0.3">
      <c r="B10" s="76" t="s">
        <v>8</v>
      </c>
      <c r="D10" s="73" t="s">
        <v>3</v>
      </c>
      <c r="F10" s="69" t="s">
        <v>216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7</v>
      </c>
      <c r="D11" s="74" t="s">
        <v>4</v>
      </c>
      <c r="F11" s="70" t="s">
        <v>217</v>
      </c>
      <c r="H11" s="79" t="str">
        <f>Idiomas!$A$14</f>
        <v>Inicio</v>
      </c>
      <c r="I11" s="86">
        <v>3</v>
      </c>
    </row>
    <row r="12" spans="2:9" x14ac:dyDescent="0.3">
      <c r="B12" s="76" t="s">
        <v>6</v>
      </c>
      <c r="F12" s="69" t="s">
        <v>218</v>
      </c>
      <c r="H12" s="67" t="str">
        <f>Idiomas!$A$15</f>
        <v>Previsto</v>
      </c>
      <c r="I12" s="87">
        <v>4</v>
      </c>
    </row>
    <row r="13" spans="2:9" x14ac:dyDescent="0.3">
      <c r="B13" s="77" t="s">
        <v>2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9"/>
      <c r="H14" s="67" t="str">
        <f>Idiomas!$A$17</f>
        <v>Duración</v>
      </c>
      <c r="I14" s="87">
        <v>6</v>
      </c>
    </row>
    <row r="15" spans="2:9" x14ac:dyDescent="0.3">
      <c r="B15" s="77" t="s">
        <v>8</v>
      </c>
      <c r="F15" s="70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17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7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0" t="s">
        <v>18</v>
      </c>
      <c r="C23" s="111"/>
      <c r="D23" s="112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77734375" style="2" customWidth="1"/>
    <col min="2" max="2" width="9.777343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777343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19</v>
      </c>
      <c r="F1" s="50" t="s">
        <v>20</v>
      </c>
      <c r="G1" s="50" t="s">
        <v>21</v>
      </c>
      <c r="H1" s="50" t="s">
        <v>22</v>
      </c>
      <c r="I1" s="50" t="s">
        <v>23</v>
      </c>
      <c r="J1" s="50" t="s">
        <v>24</v>
      </c>
      <c r="K1" s="50" t="s">
        <v>25</v>
      </c>
      <c r="L1" s="50" t="s">
        <v>26</v>
      </c>
      <c r="M1" s="50" t="s">
        <v>27</v>
      </c>
      <c r="N1" s="50" t="s">
        <v>28</v>
      </c>
      <c r="O1" s="50" t="str">
        <f>Idiomas!$A$21</f>
        <v>Celda</v>
      </c>
      <c r="P1" s="51" t="s">
        <v>29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R-141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R-141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R141:R148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R-132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R-132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R132:R139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R-123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R-123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R123:R130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R-114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R-114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R114:R121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R-105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R-105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R105:R112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R-96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R-96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R96:R103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R-87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R-87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R87:R94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R-78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R-78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R78:R85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R-69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R-69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R69:R76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R-60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R-60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R60:R67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R-51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R-51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R51:R58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2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R-42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R-42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R42:R49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R-33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R-33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R33:R40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R-24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R-24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R24:R31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R-15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R-15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R15:R22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R-6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R6:R13</v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5</v>
      </c>
      <c r="C85" s="57">
        <f>IFERROR(MATCH(Datos!$B85,Configura!$D$9:$D$11,0),0)</f>
        <v>3</v>
      </c>
      <c r="D85" s="57" cm="1">
        <f t="array" ref="D85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>W-6</v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W-6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W6:W13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777343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>
        <f t="shared" ref="X3:X34" ca="1" si="4">IF(W3&gt;W2,IFERROR(IF(Z$1="v",SMALL(V$2:V$101,W3),LARGE(V$2:V$101,W3)),""),X2)</f>
        <v>84</v>
      </c>
      <c r="Y3" s="20" cm="1">
        <f t="array" aca="1" ref="Y3" ca="1">IF(X3="","",IF(X3&lt;&gt;X2,1,IF(Y2=misLíneas-2,0,Y2+1)))</f>
        <v>1</v>
      </c>
      <c r="Z3" s="20" t="str" cm="1">
        <f t="array" aca="1" ref="Z3" ca="1">IF(OR(Y3=0,Y3=""),"",INDEX(misCriticidades,X3)&amp;"-"&amp;IFERROR(MATCH(Y3,miOrdenTarjeta,0),0))</f>
        <v>3-1</v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>
        <f t="shared" ca="1" si="4"/>
        <v>84</v>
      </c>
      <c r="Y4" s="20" cm="1">
        <f t="array" aca="1" ref="Y4" ca="1">IF(X4="","",IF(X4&lt;&gt;X3,1,IF(Y3=misLíneas-2,0,Y3+1)))</f>
        <v>2</v>
      </c>
      <c r="Z4" s="20" t="str" cm="1">
        <f t="array" aca="1" ref="Z4" ca="1">IF(OR(Y4=0,Y4=""),"",INDEX(misCriticidades,X4)&amp;"-"&amp;IFERROR(MATCH(Y4,miOrdenTarjeta,0),0))</f>
        <v>3-2</v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>
        <f t="shared" ca="1" si="4"/>
        <v>84</v>
      </c>
      <c r="Y5" s="20" cm="1">
        <f t="array" aca="1" ref="Y5" ca="1">IF(X5="","",IF(X5&lt;&gt;X4,1,IF(Y4=misLíneas-2,0,Y4+1)))</f>
        <v>3</v>
      </c>
      <c r="Z5" s="20" t="str" cm="1">
        <f t="array" aca="1" ref="Z5" ca="1">IF(OR(Y5=0,Y5=""),"",INDEX(misCriticidades,X5)&amp;"-"&amp;IFERROR(MATCH(Y5,miOrdenTarjeta,0),0))</f>
        <v>3-3</v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>
        <f t="shared" ca="1" si="4"/>
        <v>84</v>
      </c>
      <c r="Y6" s="20" cm="1">
        <f t="array" aca="1" ref="Y6" ca="1">IF(X6="","",IF(X6&lt;&gt;X5,1,IF(Y5=misLíneas-2,0,Y5+1)))</f>
        <v>4</v>
      </c>
      <c r="Z6" s="20" t="str" cm="1">
        <f t="array" aca="1" ref="Z6" ca="1">IF(OR(Y6=0,Y6=""),"",INDEX(misCriticidades,X6)&amp;"-"&amp;IFERROR(MATCH(Y6,miOrdenTarjeta,0),0))</f>
        <v>3-4</v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>
        <f t="shared" ca="1" si="4"/>
        <v>84</v>
      </c>
      <c r="Y7" s="20" cm="1">
        <f t="array" aca="1" ref="Y7" ca="1">IF(X7="","",IF(X7&lt;&gt;X6,1,IF(Y6=misLíneas-2,0,Y6+1)))</f>
        <v>5</v>
      </c>
      <c r="Z7" s="20" t="str" cm="1">
        <f t="array" aca="1" ref="Z7" ca="1">IF(OR(Y7=0,Y7=""),"",INDEX(misCriticidades,X7)&amp;"-"&amp;IFERROR(MATCH(Y7,miOrdenTarjeta,0),0))</f>
        <v>3-5</v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16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>
        <f t="shared" ca="1" si="4"/>
        <v>84</v>
      </c>
      <c r="Y8" s="20" cm="1">
        <f t="array" aca="1" ref="Y8" ca="1">IF(X8="","",IF(X8&lt;&gt;X7,1,IF(Y7=misLíneas-2,0,Y7+1)))</f>
        <v>6</v>
      </c>
      <c r="Z8" s="20" t="str" cm="1">
        <f t="array" aca="1" ref="Z8" ca="1">IF(OR(Y8=0,Y8=""),"",INDEX(misCriticidades,X8)&amp;"-"&amp;IFERROR(MATCH(Y8,miOrdenTarjeta,0),0))</f>
        <v>3-6</v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16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>
        <f t="shared" ca="1" si="4"/>
        <v>84</v>
      </c>
      <c r="Y9" s="20" cm="1">
        <f t="array" aca="1" ref="Y9" ca="1">IF(X9="","",IF(X9&lt;&gt;X8,1,IF(Y8=misLíneas-2,0,Y8+1)))</f>
        <v>7</v>
      </c>
      <c r="Z9" s="20" t="str" cm="1">
        <f t="array" aca="1" ref="Z9" ca="1">IF(OR(Y9=0,Y9=""),"",INDEX(misCriticidades,X9)&amp;"-"&amp;IFERROR(MATCH(Y9,miOrdenTarjeta,0),0))</f>
        <v>3-7</v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>
        <f t="shared" ca="1" si="4"/>
        <v>84</v>
      </c>
      <c r="Y10" s="20" cm="1">
        <f t="array" aca="1" ref="Y10" ca="1">IF(X10="","",IF(X10&lt;&gt;X9,1,IF(Y9=misLíneas-2,0,Y9+1)))</f>
        <v>8</v>
      </c>
      <c r="Z10" s="20" t="str" cm="1">
        <f t="array" aca="1" ref="Z10" ca="1">IF(OR(Y10=0,Y10=""),"",INDEX(misCriticidades,X10)&amp;"-"&amp;IFERROR(MATCH(Y10,miOrdenTarjeta,0),0))</f>
        <v>3-8</v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>
        <f t="shared" ca="1" si="4"/>
        <v>84</v>
      </c>
      <c r="Y11" s="20" cm="1">
        <f t="array" aca="1" ref="Y11" ca="1">IF(X11="","",IF(X11&lt;&gt;X10,1,IF(Y10=misLíneas-2,0,Y10+1)))</f>
        <v>0</v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2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15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2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15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2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2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15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2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15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2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2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2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2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1-1</v>
      </c>
      <c r="V21" s="19" t="str">
        <f ca="1"/>
        <v/>
      </c>
      <c r="W21" s="20">
        <f t="shared" ca="1" si="14"/>
        <v>2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1-2</v>
      </c>
      <c r="V22" s="19" t="str">
        <f ca="1"/>
        <v/>
      </c>
      <c r="W22" s="20">
        <f t="shared" ca="1" si="14"/>
        <v>2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1-3</v>
      </c>
      <c r="V23" s="19" t="str">
        <f ca="1"/>
        <v/>
      </c>
      <c r="W23" s="20">
        <f t="shared" ca="1" si="14"/>
        <v>2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1-4</v>
      </c>
      <c r="V24" s="19" t="str">
        <f ca="1"/>
        <v/>
      </c>
      <c r="W24" s="20">
        <f t="shared" ca="1" si="14"/>
        <v>2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1-5</v>
      </c>
      <c r="V25" s="19" t="str">
        <f ca="1"/>
        <v/>
      </c>
      <c r="W25" s="20">
        <f t="shared" ca="1" si="14"/>
        <v>2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1-6</v>
      </c>
      <c r="V26" s="19" t="str">
        <f ca="1"/>
        <v/>
      </c>
      <c r="W26" s="20">
        <f t="shared" ca="1" si="14"/>
        <v>2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1-7</v>
      </c>
      <c r="V27" s="19" t="str">
        <f ca="1"/>
        <v/>
      </c>
      <c r="W27" s="20">
        <f t="shared" ca="1" si="14"/>
        <v>2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1-8</v>
      </c>
      <c r="V28" s="19" t="str">
        <f ca="1"/>
        <v/>
      </c>
      <c r="W28" s="20">
        <f t="shared" ca="1" si="14"/>
        <v>2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2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13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1-1</v>
      </c>
      <c r="V30" s="19" t="str">
        <f ca="1"/>
        <v/>
      </c>
      <c r="W30" s="20">
        <f t="shared" ca="1" si="14"/>
        <v>2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13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1-2</v>
      </c>
      <c r="V31" s="19" t="str">
        <f ca="1"/>
        <v/>
      </c>
      <c r="W31" s="20">
        <f t="shared" ca="1" si="14"/>
        <v>2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13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1-3</v>
      </c>
      <c r="V32" s="19" t="str">
        <f ca="1"/>
        <v/>
      </c>
      <c r="W32" s="20">
        <f t="shared" ca="1" si="14"/>
        <v>2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13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1-4</v>
      </c>
      <c r="V33" s="19" t="str">
        <f ca="1"/>
        <v/>
      </c>
      <c r="W33" s="20">
        <f t="shared" ca="1" si="14"/>
        <v>2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13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1-5</v>
      </c>
      <c r="V34" s="19" t="str">
        <f ca="1"/>
        <v/>
      </c>
      <c r="W34" s="20">
        <f t="shared" ca="1" si="14"/>
        <v>2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13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1-6</v>
      </c>
      <c r="V35" s="19" t="str">
        <f ca="1"/>
        <v/>
      </c>
      <c r="W35" s="20">
        <f t="shared" ca="1" si="14"/>
        <v>2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13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1-7</v>
      </c>
      <c r="V36" s="19" t="str">
        <f ca="1"/>
        <v/>
      </c>
      <c r="W36" s="20">
        <f t="shared" ca="1" si="14"/>
        <v>2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13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1-8</v>
      </c>
      <c r="V37" s="19" t="str">
        <f ca="1"/>
        <v/>
      </c>
      <c r="W37" s="20">
        <f t="shared" ca="1" si="14"/>
        <v>2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13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2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12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2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12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2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12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2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12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2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12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2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12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2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12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2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12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2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12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2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2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2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2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2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2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2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2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2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2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10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2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10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2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10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2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10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2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10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2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10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2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10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2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10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2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10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2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9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2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9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2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9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2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9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2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9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2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9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2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9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2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9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2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9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2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8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2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8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2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8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2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8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2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8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2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8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2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8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2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8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2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8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2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7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2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7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>
        <f ca="1"/>
        <v>84</v>
      </c>
      <c r="W85" s="20">
        <f t="shared" ca="1" si="39"/>
        <v>2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7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2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7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2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7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2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7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2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7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2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7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2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7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2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6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2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6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2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6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2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6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2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6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2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6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2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6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2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6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2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6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2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5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2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5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2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5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2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5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2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5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2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5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2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5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2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5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2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5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2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4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2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4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2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4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2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4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2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4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2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4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2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4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2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4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2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4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2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2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2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2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2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2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2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2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2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2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2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2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2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2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2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2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2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2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2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2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2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2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2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2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2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2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2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2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2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2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2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2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2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2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2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2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2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2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2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2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2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2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2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2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2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2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2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2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2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2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2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2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2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2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2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2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2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2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2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2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2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2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2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2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2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2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2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2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2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2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2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2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2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2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2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2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2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2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2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2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2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2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2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2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2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2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2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2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2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77734375" style="2" hidden="1"/>
  </cols>
  <sheetData>
    <row r="1" spans="1:7" x14ac:dyDescent="0.3">
      <c r="A1" s="27">
        <f>IFERROR(MATCH(miIdioma,misIdiomas,0),1)</f>
        <v>1</v>
      </c>
      <c r="B1" s="2" t="s">
        <v>15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">
      <c r="A2" s="32" t="str" cm="1">
        <f t="array" ref="A2">INDEX(TablaIdiomas[#This Row],1,$A$1)&amp;""</f>
        <v>Tablero KANBAN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x14ac:dyDescent="0.3">
      <c r="A3" s="36" t="str" cm="1">
        <f t="array" ref="A3">INDEX(TablaIdiomas[#This Row],1,$A$1)&amp;""</f>
        <v>Idioma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</row>
    <row r="4" spans="1:7" x14ac:dyDescent="0.3">
      <c r="A4" s="32" t="str" cm="1">
        <f t="array" ref="A4">INDEX(TablaIdiomas[#This Row],1,$A$1)&amp;""</f>
        <v>AVISO: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47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</row>
    <row r="7" spans="1:7" x14ac:dyDescent="0.3">
      <c r="A7" s="36" t="str" cm="1">
        <f t="array" ref="A7">INDEX(TablaIdiomas[#This Row],1,$A$1)&amp;""</f>
        <v>Estados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64</v>
      </c>
    </row>
    <row r="8" spans="1:7" x14ac:dyDescent="0.3">
      <c r="A8" s="32" t="str" cm="1">
        <f t="array" ref="A8">INDEX(TablaIdiomas[#This Row],1,$A$1)&amp;""</f>
        <v>Criticidad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</row>
    <row r="10" spans="1:7" x14ac:dyDescent="0.3">
      <c r="A10" s="32" t="str" cm="1">
        <f t="array" ref="A10">INDEX(TablaIdiomas[#This Row],1,$A$1)&amp;""</f>
        <v>Estado final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81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</row>
    <row r="12" spans="1:7" x14ac:dyDescent="0.3">
      <c r="A12" s="32" t="str" cm="1">
        <f t="array" ref="A12">INDEX(TablaIdiomas[#This Row],1,$A$1)&amp;""</f>
        <v>Tarea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spans="1:7" x14ac:dyDescent="0.3">
      <c r="A13" s="36" t="str" cm="1">
        <f t="array" ref="A13">INDEX(TablaIdiomas[#This Row],1,$A$1)&amp;""</f>
        <v>Descripción</v>
      </c>
      <c r="B13" s="2" t="s">
        <v>98</v>
      </c>
      <c r="C13" s="2" t="s">
        <v>99</v>
      </c>
      <c r="D13" s="2" t="s">
        <v>99</v>
      </c>
      <c r="E13" s="2" t="s">
        <v>100</v>
      </c>
      <c r="F13" s="2" t="s">
        <v>101</v>
      </c>
      <c r="G13" s="2" t="s">
        <v>102</v>
      </c>
    </row>
    <row r="14" spans="1:7" x14ac:dyDescent="0.3">
      <c r="A14" s="32" t="str" cm="1">
        <f t="array" ref="A14">INDEX(TablaIdiomas[#This Row],1,$A$1)&amp;""</f>
        <v>Inicio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104</v>
      </c>
      <c r="G14" s="2" t="s">
        <v>107</v>
      </c>
    </row>
    <row r="15" spans="1:7" x14ac:dyDescent="0.3">
      <c r="A15" s="36" t="str" cm="1">
        <f t="array" ref="A15">INDEX(TablaIdiomas[#This Row],1,$A$1)&amp;""</f>
        <v>Previsto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113</v>
      </c>
    </row>
    <row r="16" spans="1:7" x14ac:dyDescent="0.3">
      <c r="A16" s="32" t="str" cm="1">
        <f t="array" ref="A16">INDEX(TablaIdiomas[#This Row],1,$A$1)&amp;""</f>
        <v>Final</v>
      </c>
      <c r="B16" s="2" t="s">
        <v>114</v>
      </c>
      <c r="C16" s="2" t="s">
        <v>114</v>
      </c>
      <c r="D16" s="2" t="s">
        <v>115</v>
      </c>
      <c r="E16" s="2" t="s">
        <v>115</v>
      </c>
      <c r="F16" s="2" t="s">
        <v>115</v>
      </c>
      <c r="G16" s="2" t="s">
        <v>114</v>
      </c>
    </row>
    <row r="17" spans="1:7" x14ac:dyDescent="0.3">
      <c r="A17" s="36" t="str" cm="1">
        <f t="array" ref="A17">INDEX(TablaIdiomas[#This Row],1,$A$1)&amp;""</f>
        <v>Duración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121</v>
      </c>
    </row>
    <row r="18" spans="1:7" x14ac:dyDescent="0.3">
      <c r="A18" s="32" t="str" cm="1">
        <f t="array" ref="A18">INDEX(TablaIdiomas[#This Row],1,$A$1)&amp;""</f>
        <v>Retraso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126</v>
      </c>
      <c r="G18" s="2" t="s">
        <v>127</v>
      </c>
    </row>
    <row r="19" spans="1:7" x14ac:dyDescent="0.3">
      <c r="A19" s="36" t="str" cm="1">
        <f t="array" ref="A19">INDEX(TablaIdiomas[#This Row],1,$A$1)&amp;""</f>
        <v>Asignado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</row>
    <row r="20" spans="1:7" x14ac:dyDescent="0.3">
      <c r="A20" s="32" t="str" cm="1">
        <f t="array" ref="A20">INDEX(TablaIdiomas[#This Row],1,$A$1)&amp;""</f>
        <v>Filtro</v>
      </c>
      <c r="B20" s="2" t="s">
        <v>134</v>
      </c>
      <c r="C20" s="2" t="s">
        <v>135</v>
      </c>
      <c r="D20" s="2" t="s">
        <v>136</v>
      </c>
      <c r="E20" s="2" t="s">
        <v>134</v>
      </c>
      <c r="F20" s="2" t="s">
        <v>135</v>
      </c>
      <c r="G20" s="2" t="s">
        <v>134</v>
      </c>
    </row>
    <row r="21" spans="1:7" x14ac:dyDescent="0.3">
      <c r="A21" s="36" t="str" cm="1">
        <f t="array" ref="A21">INDEX(TablaIdiomas[#This Row],1,$A$1)&amp;""</f>
        <v>Celda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 t="s">
        <v>142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 t="s">
        <v>148</v>
      </c>
    </row>
    <row r="23" spans="1:7" x14ac:dyDescent="0.3">
      <c r="A23" s="36" t="str" cm="1">
        <f t="array" ref="A23">INDEX(TablaIdiomas[#This Row],1,$A$1)&amp;""</f>
        <v>líneas</v>
      </c>
      <c r="B23" s="2" t="s">
        <v>149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155</v>
      </c>
      <c r="C24" s="2" t="s">
        <v>156</v>
      </c>
      <c r="D24" s="2" t="s">
        <v>157</v>
      </c>
      <c r="E24" s="2" t="s">
        <v>158</v>
      </c>
      <c r="F24" s="2" t="s">
        <v>159</v>
      </c>
      <c r="G24" s="2" t="s">
        <v>160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161</v>
      </c>
      <c r="C25" s="2" t="s">
        <v>162</v>
      </c>
      <c r="D25" s="2" t="s">
        <v>163</v>
      </c>
      <c r="E25" s="2" t="s">
        <v>164</v>
      </c>
      <c r="F25" s="2" t="s">
        <v>165</v>
      </c>
      <c r="G25" s="2" t="s">
        <v>166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167</v>
      </c>
      <c r="C26" s="2" t="s">
        <v>168</v>
      </c>
      <c r="D26" s="2" t="s">
        <v>169</v>
      </c>
      <c r="E26" s="2" t="s">
        <v>170</v>
      </c>
      <c r="F26" s="2" t="s">
        <v>171</v>
      </c>
      <c r="G26" s="2" t="s">
        <v>172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179</v>
      </c>
      <c r="C28" s="2" t="s">
        <v>180</v>
      </c>
      <c r="D28" s="2" t="s">
        <v>181</v>
      </c>
      <c r="E28" s="2" t="s">
        <v>182</v>
      </c>
      <c r="F28" s="2" t="s">
        <v>183</v>
      </c>
      <c r="G28" s="2" t="s">
        <v>184</v>
      </c>
    </row>
    <row r="29" spans="1:7" x14ac:dyDescent="0.3">
      <c r="A29" s="36" t="str" cm="1">
        <f t="array" ref="A29">INDEX(TablaIdiomas[#This Row],1,$A$1)&amp;""</f>
        <v>días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189</v>
      </c>
      <c r="G29" s="2" t="s">
        <v>190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195</v>
      </c>
      <c r="G30" s="2" t="s">
        <v>196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201</v>
      </c>
      <c r="G31" s="2" t="s">
        <v>202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209</v>
      </c>
      <c r="C33" s="2" t="s">
        <v>210</v>
      </c>
      <c r="D33" s="2" t="s">
        <v>211</v>
      </c>
      <c r="E33" s="2" t="s">
        <v>212</v>
      </c>
      <c r="F33" s="2" t="s">
        <v>213</v>
      </c>
      <c r="G33" s="2" t="s">
        <v>214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LEIDY LISBETH SARAGURO CHAVEZ</cp:lastModifiedBy>
  <cp:revision>0</cp:revision>
  <dcterms:created xsi:type="dcterms:W3CDTF">2022-12-26T11:27:14Z</dcterms:created>
  <dcterms:modified xsi:type="dcterms:W3CDTF">2026-07-02T03:44:42Z</dcterms:modified>
  <cp:category/>
  <cp:contentStatus/>
</cp:coreProperties>
</file>